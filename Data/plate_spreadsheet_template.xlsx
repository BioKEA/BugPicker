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<sst xmlns="http://schemas.openxmlformats.org/spreadsheetml/2006/main" count="311" uniqueCount="120">
  <si>
    <t>no.</t>
  </si>
  <si>
    <t>Plate number</t>
  </si>
  <si>
    <t>Plate ID</t>
  </si>
  <si>
    <t>Well Number</t>
  </si>
  <si>
    <t>Extract ID</t>
  </si>
  <si>
    <t>Image Code</t>
  </si>
  <si>
    <t>Project</t>
  </si>
  <si>
    <t>Collection Code</t>
  </si>
  <si>
    <t>Order</t>
  </si>
  <si>
    <t>Notes</t>
  </si>
  <si>
    <t>DNA concentration (ng/µl)</t>
  </si>
  <si>
    <t>Extract volume (µl)</t>
  </si>
  <si>
    <t>Quantified volume (µl)</t>
  </si>
  <si>
    <t>Used in PCR (µl)</t>
  </si>
  <si>
    <t>Vol remaining (µl)</t>
  </si>
  <si>
    <t>Gel Results</t>
  </si>
  <si>
    <t>Oligo_F_Sequence Name</t>
  </si>
  <si>
    <t>Oligo_F_Sequence</t>
  </si>
  <si>
    <t>Oligo_R_Sequence Name</t>
  </si>
  <si>
    <t>Oligo_R_Sequence</t>
  </si>
  <si>
    <t>COI, ONT Sequencing Results</t>
  </si>
  <si>
    <t>AA0000</t>
  </si>
  <si>
    <t>A1</t>
  </si>
  <si>
    <t>CIB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</si>
  <si>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</si>
  <si>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</si>
  <si>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</si>
  <si>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</si>
  <si>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</si>
  <si>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</si>
  <si>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</si>
  <si>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</si>
  <si>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</si>
  <si>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</si>
  <si>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</si>
  <si>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</si>
  <si>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</si>
  <si>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</si>
  <si>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</si>
  <si>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</si>
  <si>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</si>
  <si>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</si>
  <si>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</si>
  <si>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</si>
  <si>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</si>
  <si>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</si>
  <si>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</si>
  <si>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</si>
  <si>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</si>
  <si>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</si>
  <si>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</si>
  <si>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</si>
  <si>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</si>
  <si>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</si>
  <si>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</si>
  <si>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</si>
  <si>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</si>
  <si>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</si>
  <si>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</si>
  <si>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</si>
  <si>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</si>
  <si>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</si>
  <si>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</si>
  <si>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</si>
  <si>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</si>
  <si>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</si>
  <si>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</si>
  <si>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</si>
  <si>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</si>
  <si>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</si>
  <si>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</si>
  <si>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</si>
  <si>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</si>
  <si>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</si>
  <si>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</si>
  <si>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</si>
  <si>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</si>
  <si>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</si>
  <si>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</si>
  <si>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</si>
  <si>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</si>
  <si>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</si>
  <si>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</si>
  <si>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</si>
  <si>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</si>
  <si>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</si>
  <si>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</si>
  <si>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</si>
  <si>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</si>
  <si>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</si>
  <si>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</si>
  <si>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</si>
  <si>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</si>
  <si>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</si>
  <si>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</si>
  <si>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</si>
  <si>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</si>
  <si>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</si>
  <si>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</si>
  <si>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</si>
  <si>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</si>
  <si>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</si>
  <si>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</si>
  <si>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</si>
  <si>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</si>
  <si>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</si>
  <si>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</si>
  <si>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</si>
  <si>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</si>
  <si>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</si>
  <si>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</si>
  <si>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</si>
  <si>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</si>
  <si>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</si>
  <si>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</si>
  <si>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</si>
  <si>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</si>
  <si>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</si>
  <si>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</si>
  <si>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&lt;blank&gt;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</si>
</sst>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2" fontId="1" numFmtId="2" xfId="0" applyAlignment="1" applyFill="1" applyFont="1" applyNumberFormat="1">
      <alignment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5"/>
    <col customWidth="1" min="2" max="2" width="11.5"/>
    <col customWidth="1" min="3" max="3" width="8.63"/>
    <col customWidth="1" min="4" max="4" width="11.13"/>
    <col customWidth="1" min="5" max="5" width="14.75"/>
    <col customWidth="1" min="6" max="6" width="18.38"/>
    <col customWidth="1" min="7" max="7" width="6.63"/>
    <col customWidth="1" min="8" max="8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6"/>
      <c r="X1" s="6"/>
      <c r="Y1" s="6"/>
      <c r="Z1" s="6"/>
      <c r="AA1" s="6"/>
      <c r="AB1" s="6"/>
      <c r="AC1" s="6"/>
      <c r="AD1" s="6"/>
    </row>
    <row r="2">
      <c r="A2" s="7">
        <v>1.0</v>
      </c>
      <c r="B2" s="8" t="s">
        <v>21</v>
      </c>
      <c r="C2" s="9" t="str">
        <f t="shared" ref="C2:C97" si="1">"P-"&amp;B2</f>
        <v>P-AA0000</v>
      </c>
      <c r="D2" s="9" t="s">
        <v>22</v>
      </c>
      <c r="E2" s="9" t="str">
        <f t="shared" ref="E2:E96" si="2">"DNA-"&amp;B2&amp;"-"&amp;D2</f>
        <v>DNA-AA0000-A1</v>
      </c>
      <c r="F2" s="9" t="str">
        <f t="shared" ref="F2:F96" si="3">"IMG-"&amp;E2</f>
        <v>IMG-DNA-AA0000-A1</v>
      </c>
      <c r="G2" s="8" t="s">
        <v>23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7">
        <v>2.0</v>
      </c>
      <c r="B3" s="8" t="s">
        <v>21</v>
      </c>
      <c r="C3" s="9" t="str">
        <f t="shared" si="1"/>
        <v>P-AA0000</v>
      </c>
      <c r="D3" s="9" t="s">
        <v>24</v>
      </c>
      <c r="E3" s="9" t="str">
        <f t="shared" si="2"/>
        <v>DNA-AA0000-A2</v>
      </c>
      <c r="F3" s="9" t="str">
        <f t="shared" si="3"/>
        <v>IMG-DNA-AA0000-A2</v>
      </c>
      <c r="G3" s="8" t="s">
        <v>23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>
      <c r="A4" s="7">
        <v>3.0</v>
      </c>
      <c r="B4" s="8" t="s">
        <v>21</v>
      </c>
      <c r="C4" s="9" t="str">
        <f t="shared" si="1"/>
        <v>P-AA0000</v>
      </c>
      <c r="D4" s="9" t="s">
        <v>25</v>
      </c>
      <c r="E4" s="9" t="str">
        <f t="shared" si="2"/>
        <v>DNA-AA0000-A3</v>
      </c>
      <c r="F4" s="9" t="str">
        <f t="shared" si="3"/>
        <v>IMG-DNA-AA0000-A3</v>
      </c>
      <c r="G4" s="8" t="s">
        <v>23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7">
        <v>4.0</v>
      </c>
      <c r="B5" s="8" t="s">
        <v>21</v>
      </c>
      <c r="C5" s="9" t="str">
        <f t="shared" si="1"/>
        <v>P-AA0000</v>
      </c>
      <c r="D5" s="9" t="s">
        <v>26</v>
      </c>
      <c r="E5" s="9" t="str">
        <f t="shared" si="2"/>
        <v>DNA-AA0000-A4</v>
      </c>
      <c r="F5" s="9" t="str">
        <f t="shared" si="3"/>
        <v>IMG-DNA-AA0000-A4</v>
      </c>
      <c r="G5" s="8" t="s">
        <v>23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7">
        <v>5.0</v>
      </c>
      <c r="B6" s="8" t="s">
        <v>21</v>
      </c>
      <c r="C6" s="9" t="str">
        <f t="shared" si="1"/>
        <v>P-AA0000</v>
      </c>
      <c r="D6" s="9" t="s">
        <v>27</v>
      </c>
      <c r="E6" s="9" t="str">
        <f t="shared" si="2"/>
        <v>DNA-AA0000-A5</v>
      </c>
      <c r="F6" s="9" t="str">
        <f t="shared" si="3"/>
        <v>IMG-DNA-AA0000-A5</v>
      </c>
      <c r="G6" s="8" t="s">
        <v>23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7">
        <v>6.0</v>
      </c>
      <c r="B7" s="8" t="s">
        <v>21</v>
      </c>
      <c r="C7" s="9" t="str">
        <f t="shared" si="1"/>
        <v>P-AA0000</v>
      </c>
      <c r="D7" s="9" t="s">
        <v>28</v>
      </c>
      <c r="E7" s="9" t="str">
        <f t="shared" si="2"/>
        <v>DNA-AA0000-A6</v>
      </c>
      <c r="F7" s="9" t="str">
        <f t="shared" si="3"/>
        <v>IMG-DNA-AA0000-A6</v>
      </c>
      <c r="G7" s="8" t="s">
        <v>23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7">
        <v>7.0</v>
      </c>
      <c r="B8" s="8" t="s">
        <v>21</v>
      </c>
      <c r="C8" s="9" t="str">
        <f t="shared" si="1"/>
        <v>P-AA0000</v>
      </c>
      <c r="D8" s="9" t="s">
        <v>29</v>
      </c>
      <c r="E8" s="9" t="str">
        <f t="shared" si="2"/>
        <v>DNA-AA0000-A7</v>
      </c>
      <c r="F8" s="9" t="str">
        <f t="shared" si="3"/>
        <v>IMG-DNA-AA0000-A7</v>
      </c>
      <c r="G8" s="8" t="s">
        <v>23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7">
        <v>8.0</v>
      </c>
      <c r="B9" s="8" t="s">
        <v>21</v>
      </c>
      <c r="C9" s="9" t="str">
        <f t="shared" si="1"/>
        <v>P-AA0000</v>
      </c>
      <c r="D9" s="9" t="s">
        <v>30</v>
      </c>
      <c r="E9" s="9" t="str">
        <f t="shared" si="2"/>
        <v>DNA-AA0000-A8</v>
      </c>
      <c r="F9" s="9" t="str">
        <f t="shared" si="3"/>
        <v>IMG-DNA-AA0000-A8</v>
      </c>
      <c r="G9" s="8" t="s">
        <v>23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7">
        <v>9.0</v>
      </c>
      <c r="B10" s="8" t="s">
        <v>21</v>
      </c>
      <c r="C10" s="9" t="str">
        <f t="shared" si="1"/>
        <v>P-AA0000</v>
      </c>
      <c r="D10" s="9" t="s">
        <v>31</v>
      </c>
      <c r="E10" s="9" t="str">
        <f t="shared" si="2"/>
        <v>DNA-AA0000-A9</v>
      </c>
      <c r="F10" s="9" t="str">
        <f t="shared" si="3"/>
        <v>IMG-DNA-AA0000-A9</v>
      </c>
      <c r="G10" s="8" t="s">
        <v>23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7">
        <v>10.0</v>
      </c>
      <c r="B11" s="8" t="s">
        <v>21</v>
      </c>
      <c r="C11" s="9" t="str">
        <f t="shared" si="1"/>
        <v>P-AA0000</v>
      </c>
      <c r="D11" s="9" t="s">
        <v>32</v>
      </c>
      <c r="E11" s="9" t="str">
        <f t="shared" si="2"/>
        <v>DNA-AA0000-A10</v>
      </c>
      <c r="F11" s="9" t="str">
        <f t="shared" si="3"/>
        <v>IMG-DNA-AA0000-A10</v>
      </c>
      <c r="G11" s="8" t="s">
        <v>23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7">
        <v>11.0</v>
      </c>
      <c r="B12" s="8" t="s">
        <v>21</v>
      </c>
      <c r="C12" s="9" t="str">
        <f t="shared" si="1"/>
        <v>P-AA0000</v>
      </c>
      <c r="D12" s="9" t="s">
        <v>33</v>
      </c>
      <c r="E12" s="9" t="str">
        <f t="shared" si="2"/>
        <v>DNA-AA0000-A11</v>
      </c>
      <c r="F12" s="9" t="str">
        <f t="shared" si="3"/>
        <v>IMG-DNA-AA0000-A11</v>
      </c>
      <c r="G12" s="8" t="s">
        <v>23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7">
        <v>12.0</v>
      </c>
      <c r="B13" s="8" t="s">
        <v>21</v>
      </c>
      <c r="C13" s="9" t="str">
        <f t="shared" si="1"/>
        <v>P-AA0000</v>
      </c>
      <c r="D13" s="9" t="s">
        <v>34</v>
      </c>
      <c r="E13" s="9" t="str">
        <f t="shared" si="2"/>
        <v>DNA-AA0000-A12</v>
      </c>
      <c r="F13" s="9" t="str">
        <f t="shared" si="3"/>
        <v>IMG-DNA-AA0000-A12</v>
      </c>
      <c r="G13" s="8" t="s">
        <v>23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7">
        <v>13.0</v>
      </c>
      <c r="B14" s="8" t="s">
        <v>21</v>
      </c>
      <c r="C14" s="9" t="str">
        <f t="shared" si="1"/>
        <v>P-AA0000</v>
      </c>
      <c r="D14" s="9" t="s">
        <v>35</v>
      </c>
      <c r="E14" s="9" t="str">
        <f t="shared" si="2"/>
        <v>DNA-AA0000-B1</v>
      </c>
      <c r="F14" s="9" t="str">
        <f t="shared" si="3"/>
        <v>IMG-DNA-AA0000-B1</v>
      </c>
      <c r="G14" s="8" t="s">
        <v>23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7">
        <v>14.0</v>
      </c>
      <c r="B15" s="8" t="s">
        <v>21</v>
      </c>
      <c r="C15" s="9" t="str">
        <f t="shared" si="1"/>
        <v>P-AA0000</v>
      </c>
      <c r="D15" s="9" t="s">
        <v>36</v>
      </c>
      <c r="E15" s="9" t="str">
        <f t="shared" si="2"/>
        <v>DNA-AA0000-B2</v>
      </c>
      <c r="F15" s="9" t="str">
        <f t="shared" si="3"/>
        <v>IMG-DNA-AA0000-B2</v>
      </c>
      <c r="G15" s="8" t="s">
        <v>23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7">
        <v>15.0</v>
      </c>
      <c r="B16" s="8" t="s">
        <v>21</v>
      </c>
      <c r="C16" s="9" t="str">
        <f t="shared" si="1"/>
        <v>P-AA0000</v>
      </c>
      <c r="D16" s="9" t="s">
        <v>37</v>
      </c>
      <c r="E16" s="9" t="str">
        <f t="shared" si="2"/>
        <v>DNA-AA0000-B3</v>
      </c>
      <c r="F16" s="9" t="str">
        <f t="shared" si="3"/>
        <v>IMG-DNA-AA0000-B3</v>
      </c>
      <c r="G16" s="8" t="s">
        <v>23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7">
        <v>16.0</v>
      </c>
      <c r="B17" s="8" t="s">
        <v>21</v>
      </c>
      <c r="C17" s="9" t="str">
        <f t="shared" si="1"/>
        <v>P-AA0000</v>
      </c>
      <c r="D17" s="9" t="s">
        <v>38</v>
      </c>
      <c r="E17" s="9" t="str">
        <f t="shared" si="2"/>
        <v>DNA-AA0000-B4</v>
      </c>
      <c r="F17" s="9" t="str">
        <f t="shared" si="3"/>
        <v>IMG-DNA-AA0000-B4</v>
      </c>
      <c r="G17" s="8" t="s">
        <v>23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7">
        <v>17.0</v>
      </c>
      <c r="B18" s="8" t="s">
        <v>21</v>
      </c>
      <c r="C18" s="9" t="str">
        <f t="shared" si="1"/>
        <v>P-AA0000</v>
      </c>
      <c r="D18" s="9" t="s">
        <v>39</v>
      </c>
      <c r="E18" s="9" t="str">
        <f t="shared" si="2"/>
        <v>DNA-AA0000-B5</v>
      </c>
      <c r="F18" s="9" t="str">
        <f t="shared" si="3"/>
        <v>IMG-DNA-AA0000-B5</v>
      </c>
      <c r="G18" s="8" t="s">
        <v>23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7">
        <v>18.0</v>
      </c>
      <c r="B19" s="8" t="s">
        <v>21</v>
      </c>
      <c r="C19" s="9" t="str">
        <f t="shared" si="1"/>
        <v>P-AA0000</v>
      </c>
      <c r="D19" s="9" t="s">
        <v>40</v>
      </c>
      <c r="E19" s="9" t="str">
        <f t="shared" si="2"/>
        <v>DNA-AA0000-B6</v>
      </c>
      <c r="F19" s="9" t="str">
        <f t="shared" si="3"/>
        <v>IMG-DNA-AA0000-B6</v>
      </c>
      <c r="G19" s="8" t="s">
        <v>23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7">
        <v>19.0</v>
      </c>
      <c r="B20" s="8" t="s">
        <v>21</v>
      </c>
      <c r="C20" s="9" t="str">
        <f t="shared" si="1"/>
        <v>P-AA0000</v>
      </c>
      <c r="D20" s="9" t="s">
        <v>41</v>
      </c>
      <c r="E20" s="9" t="str">
        <f t="shared" si="2"/>
        <v>DNA-AA0000-B7</v>
      </c>
      <c r="F20" s="9" t="str">
        <f t="shared" si="3"/>
        <v>IMG-DNA-AA0000-B7</v>
      </c>
      <c r="G20" s="8" t="s">
        <v>23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7">
        <v>20.0</v>
      </c>
      <c r="B21" s="8" t="s">
        <v>21</v>
      </c>
      <c r="C21" s="9" t="str">
        <f t="shared" si="1"/>
        <v>P-AA0000</v>
      </c>
      <c r="D21" s="9" t="s">
        <v>42</v>
      </c>
      <c r="E21" s="9" t="str">
        <f t="shared" si="2"/>
        <v>DNA-AA0000-B8</v>
      </c>
      <c r="F21" s="9" t="str">
        <f t="shared" si="3"/>
        <v>IMG-DNA-AA0000-B8</v>
      </c>
      <c r="G21" s="8" t="s">
        <v>23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7">
        <v>21.0</v>
      </c>
      <c r="B22" s="8" t="s">
        <v>21</v>
      </c>
      <c r="C22" s="9" t="str">
        <f t="shared" si="1"/>
        <v>P-AA0000</v>
      </c>
      <c r="D22" s="9" t="s">
        <v>43</v>
      </c>
      <c r="E22" s="9" t="str">
        <f t="shared" si="2"/>
        <v>DNA-AA0000-B9</v>
      </c>
      <c r="F22" s="9" t="str">
        <f t="shared" si="3"/>
        <v>IMG-DNA-AA0000-B9</v>
      </c>
      <c r="G22" s="8" t="s">
        <v>23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A23" s="7">
        <v>22.0</v>
      </c>
      <c r="B23" s="8" t="s">
        <v>21</v>
      </c>
      <c r="C23" s="9" t="str">
        <f t="shared" si="1"/>
        <v>P-AA0000</v>
      </c>
      <c r="D23" s="9" t="s">
        <v>44</v>
      </c>
      <c r="E23" s="9" t="str">
        <f t="shared" si="2"/>
        <v>DNA-AA0000-B10</v>
      </c>
      <c r="F23" s="9" t="str">
        <f t="shared" si="3"/>
        <v>IMG-DNA-AA0000-B10</v>
      </c>
      <c r="G23" s="8" t="s">
        <v>23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7">
        <v>23.0</v>
      </c>
      <c r="B24" s="8" t="s">
        <v>21</v>
      </c>
      <c r="C24" s="9" t="str">
        <f t="shared" si="1"/>
        <v>P-AA0000</v>
      </c>
      <c r="D24" s="9" t="s">
        <v>45</v>
      </c>
      <c r="E24" s="9" t="str">
        <f t="shared" si="2"/>
        <v>DNA-AA0000-B11</v>
      </c>
      <c r="F24" s="9" t="str">
        <f t="shared" si="3"/>
        <v>IMG-DNA-AA0000-B11</v>
      </c>
      <c r="G24" s="8" t="s">
        <v>23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7">
        <v>24.0</v>
      </c>
      <c r="B25" s="8" t="s">
        <v>21</v>
      </c>
      <c r="C25" s="9" t="str">
        <f t="shared" si="1"/>
        <v>P-AA0000</v>
      </c>
      <c r="D25" s="9" t="s">
        <v>46</v>
      </c>
      <c r="E25" s="9" t="str">
        <f t="shared" si="2"/>
        <v>DNA-AA0000-B12</v>
      </c>
      <c r="F25" s="9" t="str">
        <f t="shared" si="3"/>
        <v>IMG-DNA-AA0000-B12</v>
      </c>
      <c r="G25" s="8" t="s">
        <v>23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7">
        <v>25.0</v>
      </c>
      <c r="B26" s="8" t="s">
        <v>21</v>
      </c>
      <c r="C26" s="9" t="str">
        <f t="shared" si="1"/>
        <v>P-AA0000</v>
      </c>
      <c r="D26" s="9" t="s">
        <v>47</v>
      </c>
      <c r="E26" s="9" t="str">
        <f t="shared" si="2"/>
        <v>DNA-AA0000-C1</v>
      </c>
      <c r="F26" s="9" t="str">
        <f t="shared" si="3"/>
        <v>IMG-DNA-AA0000-C1</v>
      </c>
      <c r="G26" s="8" t="s">
        <v>23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A27" s="7">
        <v>26.0</v>
      </c>
      <c r="B27" s="8" t="s">
        <v>21</v>
      </c>
      <c r="C27" s="9" t="str">
        <f t="shared" si="1"/>
        <v>P-AA0000</v>
      </c>
      <c r="D27" s="9" t="s">
        <v>48</v>
      </c>
      <c r="E27" s="9" t="str">
        <f t="shared" si="2"/>
        <v>DNA-AA0000-C2</v>
      </c>
      <c r="F27" s="9" t="str">
        <f t="shared" si="3"/>
        <v>IMG-DNA-AA0000-C2</v>
      </c>
      <c r="G27" s="8" t="s">
        <v>23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7">
        <v>27.0</v>
      </c>
      <c r="B28" s="8" t="s">
        <v>21</v>
      </c>
      <c r="C28" s="9" t="str">
        <f t="shared" si="1"/>
        <v>P-AA0000</v>
      </c>
      <c r="D28" s="9" t="s">
        <v>49</v>
      </c>
      <c r="E28" s="9" t="str">
        <f t="shared" si="2"/>
        <v>DNA-AA0000-C3</v>
      </c>
      <c r="F28" s="9" t="str">
        <f t="shared" si="3"/>
        <v>IMG-DNA-AA0000-C3</v>
      </c>
      <c r="G28" s="8" t="s">
        <v>23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7">
        <v>28.0</v>
      </c>
      <c r="B29" s="8" t="s">
        <v>21</v>
      </c>
      <c r="C29" s="9" t="str">
        <f t="shared" si="1"/>
        <v>P-AA0000</v>
      </c>
      <c r="D29" s="9" t="s">
        <v>50</v>
      </c>
      <c r="E29" s="9" t="str">
        <f t="shared" si="2"/>
        <v>DNA-AA0000-C4</v>
      </c>
      <c r="F29" s="9" t="str">
        <f t="shared" si="3"/>
        <v>IMG-DNA-AA0000-C4</v>
      </c>
      <c r="G29" s="8" t="s">
        <v>23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7">
        <v>29.0</v>
      </c>
      <c r="B30" s="8" t="s">
        <v>21</v>
      </c>
      <c r="C30" s="9" t="str">
        <f t="shared" si="1"/>
        <v>P-AA0000</v>
      </c>
      <c r="D30" s="9" t="s">
        <v>51</v>
      </c>
      <c r="E30" s="9" t="str">
        <f t="shared" si="2"/>
        <v>DNA-AA0000-C5</v>
      </c>
      <c r="F30" s="9" t="str">
        <f t="shared" si="3"/>
        <v>IMG-DNA-AA0000-C5</v>
      </c>
      <c r="G30" s="8" t="s">
        <v>23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A31" s="7">
        <v>30.0</v>
      </c>
      <c r="B31" s="8" t="s">
        <v>21</v>
      </c>
      <c r="C31" s="9" t="str">
        <f t="shared" si="1"/>
        <v>P-AA0000</v>
      </c>
      <c r="D31" s="9" t="s">
        <v>52</v>
      </c>
      <c r="E31" s="9" t="str">
        <f t="shared" si="2"/>
        <v>DNA-AA0000-C6</v>
      </c>
      <c r="F31" s="9" t="str">
        <f t="shared" si="3"/>
        <v>IMG-DNA-AA0000-C6</v>
      </c>
      <c r="G31" s="8" t="s">
        <v>23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A32" s="7">
        <v>31.0</v>
      </c>
      <c r="B32" s="8" t="s">
        <v>21</v>
      </c>
      <c r="C32" s="9" t="str">
        <f t="shared" si="1"/>
        <v>P-AA0000</v>
      </c>
      <c r="D32" s="9" t="s">
        <v>53</v>
      </c>
      <c r="E32" s="9" t="str">
        <f t="shared" si="2"/>
        <v>DNA-AA0000-C7</v>
      </c>
      <c r="F32" s="9" t="str">
        <f t="shared" si="3"/>
        <v>IMG-DNA-AA0000-C7</v>
      </c>
      <c r="G32" s="8" t="s">
        <v>23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A33" s="7">
        <v>32.0</v>
      </c>
      <c r="B33" s="8" t="s">
        <v>21</v>
      </c>
      <c r="C33" s="9" t="str">
        <f t="shared" si="1"/>
        <v>P-AA0000</v>
      </c>
      <c r="D33" s="9" t="s">
        <v>54</v>
      </c>
      <c r="E33" s="9" t="str">
        <f t="shared" si="2"/>
        <v>DNA-AA0000-C8</v>
      </c>
      <c r="F33" s="9" t="str">
        <f t="shared" si="3"/>
        <v>IMG-DNA-AA0000-C8</v>
      </c>
      <c r="G33" s="8" t="s">
        <v>23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A34" s="7">
        <v>33.0</v>
      </c>
      <c r="B34" s="8" t="s">
        <v>21</v>
      </c>
      <c r="C34" s="9" t="str">
        <f t="shared" si="1"/>
        <v>P-AA0000</v>
      </c>
      <c r="D34" s="9" t="s">
        <v>55</v>
      </c>
      <c r="E34" s="9" t="str">
        <f t="shared" si="2"/>
        <v>DNA-AA0000-C9</v>
      </c>
      <c r="F34" s="9" t="str">
        <f t="shared" si="3"/>
        <v>IMG-DNA-AA0000-C9</v>
      </c>
      <c r="G34" s="8" t="s">
        <v>23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7">
        <v>34.0</v>
      </c>
      <c r="B35" s="8" t="s">
        <v>21</v>
      </c>
      <c r="C35" s="9" t="str">
        <f t="shared" si="1"/>
        <v>P-AA0000</v>
      </c>
      <c r="D35" s="9" t="s">
        <v>56</v>
      </c>
      <c r="E35" s="9" t="str">
        <f t="shared" si="2"/>
        <v>DNA-AA0000-C10</v>
      </c>
      <c r="F35" s="9" t="str">
        <f t="shared" si="3"/>
        <v>IMG-DNA-AA0000-C10</v>
      </c>
      <c r="G35" s="8" t="s">
        <v>23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7">
        <v>35.0</v>
      </c>
      <c r="B36" s="8" t="s">
        <v>21</v>
      </c>
      <c r="C36" s="9" t="str">
        <f t="shared" si="1"/>
        <v>P-AA0000</v>
      </c>
      <c r="D36" s="9" t="s">
        <v>57</v>
      </c>
      <c r="E36" s="9" t="str">
        <f t="shared" si="2"/>
        <v>DNA-AA0000-C11</v>
      </c>
      <c r="F36" s="9" t="str">
        <f t="shared" si="3"/>
        <v>IMG-DNA-AA0000-C11</v>
      </c>
      <c r="G36" s="8" t="s">
        <v>23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>
      <c r="A37" s="7">
        <v>36.0</v>
      </c>
      <c r="B37" s="8" t="s">
        <v>21</v>
      </c>
      <c r="C37" s="9" t="str">
        <f t="shared" si="1"/>
        <v>P-AA0000</v>
      </c>
      <c r="D37" s="9" t="s">
        <v>58</v>
      </c>
      <c r="E37" s="9" t="str">
        <f t="shared" si="2"/>
        <v>DNA-AA0000-C12</v>
      </c>
      <c r="F37" s="9" t="str">
        <f t="shared" si="3"/>
        <v>IMG-DNA-AA0000-C12</v>
      </c>
      <c r="G37" s="8" t="s">
        <v>23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>
      <c r="A38" s="7">
        <v>37.0</v>
      </c>
      <c r="B38" s="8" t="s">
        <v>21</v>
      </c>
      <c r="C38" s="9" t="str">
        <f t="shared" si="1"/>
        <v>P-AA0000</v>
      </c>
      <c r="D38" s="9" t="s">
        <v>59</v>
      </c>
      <c r="E38" s="9" t="str">
        <f t="shared" si="2"/>
        <v>DNA-AA0000-D1</v>
      </c>
      <c r="F38" s="9" t="str">
        <f t="shared" si="3"/>
        <v>IMG-DNA-AA0000-D1</v>
      </c>
      <c r="G38" s="8" t="s">
        <v>23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>
      <c r="A39" s="7">
        <v>38.0</v>
      </c>
      <c r="B39" s="8" t="s">
        <v>21</v>
      </c>
      <c r="C39" s="9" t="str">
        <f t="shared" si="1"/>
        <v>P-AA0000</v>
      </c>
      <c r="D39" s="9" t="s">
        <v>60</v>
      </c>
      <c r="E39" s="9" t="str">
        <f t="shared" si="2"/>
        <v>DNA-AA0000-D2</v>
      </c>
      <c r="F39" s="9" t="str">
        <f t="shared" si="3"/>
        <v>IMG-DNA-AA0000-D2</v>
      </c>
      <c r="G39" s="8" t="s">
        <v>23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>
      <c r="A40" s="7">
        <v>39.0</v>
      </c>
      <c r="B40" s="8" t="s">
        <v>21</v>
      </c>
      <c r="C40" s="9" t="str">
        <f t="shared" si="1"/>
        <v>P-AA0000</v>
      </c>
      <c r="D40" s="9" t="s">
        <v>61</v>
      </c>
      <c r="E40" s="9" t="str">
        <f t="shared" si="2"/>
        <v>DNA-AA0000-D3</v>
      </c>
      <c r="F40" s="9" t="str">
        <f t="shared" si="3"/>
        <v>IMG-DNA-AA0000-D3</v>
      </c>
      <c r="G40" s="8" t="s">
        <v>23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>
      <c r="A41" s="7">
        <v>40.0</v>
      </c>
      <c r="B41" s="8" t="s">
        <v>21</v>
      </c>
      <c r="C41" s="9" t="str">
        <f t="shared" si="1"/>
        <v>P-AA0000</v>
      </c>
      <c r="D41" s="9" t="s">
        <v>62</v>
      </c>
      <c r="E41" s="9" t="str">
        <f t="shared" si="2"/>
        <v>DNA-AA0000-D4</v>
      </c>
      <c r="F41" s="9" t="str">
        <f t="shared" si="3"/>
        <v>IMG-DNA-AA0000-D4</v>
      </c>
      <c r="G41" s="8" t="s">
        <v>23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>
      <c r="A42" s="7">
        <v>41.0</v>
      </c>
      <c r="B42" s="8" t="s">
        <v>21</v>
      </c>
      <c r="C42" s="9" t="str">
        <f t="shared" si="1"/>
        <v>P-AA0000</v>
      </c>
      <c r="D42" s="9" t="s">
        <v>63</v>
      </c>
      <c r="E42" s="9" t="str">
        <f t="shared" si="2"/>
        <v>DNA-AA0000-D5</v>
      </c>
      <c r="F42" s="9" t="str">
        <f t="shared" si="3"/>
        <v>IMG-DNA-AA0000-D5</v>
      </c>
      <c r="G42" s="8" t="s">
        <v>23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>
      <c r="A43" s="7">
        <v>42.0</v>
      </c>
      <c r="B43" s="8" t="s">
        <v>21</v>
      </c>
      <c r="C43" s="9" t="str">
        <f t="shared" si="1"/>
        <v>P-AA0000</v>
      </c>
      <c r="D43" s="9" t="s">
        <v>64</v>
      </c>
      <c r="E43" s="9" t="str">
        <f t="shared" si="2"/>
        <v>DNA-AA0000-D6</v>
      </c>
      <c r="F43" s="9" t="str">
        <f t="shared" si="3"/>
        <v>IMG-DNA-AA0000-D6</v>
      </c>
      <c r="G43" s="8" t="s">
        <v>23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>
      <c r="A44" s="7">
        <v>43.0</v>
      </c>
      <c r="B44" s="8" t="s">
        <v>21</v>
      </c>
      <c r="C44" s="9" t="str">
        <f t="shared" si="1"/>
        <v>P-AA0000</v>
      </c>
      <c r="D44" s="9" t="s">
        <v>65</v>
      </c>
      <c r="E44" s="9" t="str">
        <f t="shared" si="2"/>
        <v>DNA-AA0000-D7</v>
      </c>
      <c r="F44" s="9" t="str">
        <f t="shared" si="3"/>
        <v>IMG-DNA-AA0000-D7</v>
      </c>
      <c r="G44" s="8" t="s">
        <v>23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>
      <c r="A45" s="7">
        <v>44.0</v>
      </c>
      <c r="B45" s="8" t="s">
        <v>21</v>
      </c>
      <c r="C45" s="9" t="str">
        <f t="shared" si="1"/>
        <v>P-AA0000</v>
      </c>
      <c r="D45" s="9" t="s">
        <v>66</v>
      </c>
      <c r="E45" s="9" t="str">
        <f t="shared" si="2"/>
        <v>DNA-AA0000-D8</v>
      </c>
      <c r="F45" s="9" t="str">
        <f t="shared" si="3"/>
        <v>IMG-DNA-AA0000-D8</v>
      </c>
      <c r="G45" s="8" t="s">
        <v>23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>
      <c r="A46" s="7">
        <v>45.0</v>
      </c>
      <c r="B46" s="8" t="s">
        <v>21</v>
      </c>
      <c r="C46" s="9" t="str">
        <f t="shared" si="1"/>
        <v>P-AA0000</v>
      </c>
      <c r="D46" s="9" t="s">
        <v>67</v>
      </c>
      <c r="E46" s="9" t="str">
        <f t="shared" si="2"/>
        <v>DNA-AA0000-D9</v>
      </c>
      <c r="F46" s="9" t="str">
        <f t="shared" si="3"/>
        <v>IMG-DNA-AA0000-D9</v>
      </c>
      <c r="G46" s="8" t="s">
        <v>23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7">
        <v>46.0</v>
      </c>
      <c r="B47" s="8" t="s">
        <v>21</v>
      </c>
      <c r="C47" s="9" t="str">
        <f t="shared" si="1"/>
        <v>P-AA0000</v>
      </c>
      <c r="D47" s="9" t="s">
        <v>68</v>
      </c>
      <c r="E47" s="9" t="str">
        <f t="shared" si="2"/>
        <v>DNA-AA0000-D10</v>
      </c>
      <c r="F47" s="9" t="str">
        <f t="shared" si="3"/>
        <v>IMG-DNA-AA0000-D10</v>
      </c>
      <c r="G47" s="8" t="s">
        <v>23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7">
        <v>47.0</v>
      </c>
      <c r="B48" s="8" t="s">
        <v>21</v>
      </c>
      <c r="C48" s="9" t="str">
        <f t="shared" si="1"/>
        <v>P-AA0000</v>
      </c>
      <c r="D48" s="9" t="s">
        <v>69</v>
      </c>
      <c r="E48" s="9" t="str">
        <f t="shared" si="2"/>
        <v>DNA-AA0000-D11</v>
      </c>
      <c r="F48" s="9" t="str">
        <f t="shared" si="3"/>
        <v>IMG-DNA-AA0000-D11</v>
      </c>
      <c r="G48" s="8" t="s">
        <v>23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7">
        <v>48.0</v>
      </c>
      <c r="B49" s="8" t="s">
        <v>21</v>
      </c>
      <c r="C49" s="9" t="str">
        <f t="shared" si="1"/>
        <v>P-AA0000</v>
      </c>
      <c r="D49" s="9" t="s">
        <v>70</v>
      </c>
      <c r="E49" s="9" t="str">
        <f t="shared" si="2"/>
        <v>DNA-AA0000-D12</v>
      </c>
      <c r="F49" s="9" t="str">
        <f t="shared" si="3"/>
        <v>IMG-DNA-AA0000-D12</v>
      </c>
      <c r="G49" s="8" t="s">
        <v>23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7">
        <v>49.0</v>
      </c>
      <c r="B50" s="8" t="s">
        <v>21</v>
      </c>
      <c r="C50" s="9" t="str">
        <f t="shared" si="1"/>
        <v>P-AA0000</v>
      </c>
      <c r="D50" s="9" t="s">
        <v>71</v>
      </c>
      <c r="E50" s="9" t="str">
        <f t="shared" si="2"/>
        <v>DNA-AA0000-E1</v>
      </c>
      <c r="F50" s="9" t="str">
        <f t="shared" si="3"/>
        <v>IMG-DNA-AA0000-E1</v>
      </c>
      <c r="G50" s="8" t="s">
        <v>23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7">
        <v>50.0</v>
      </c>
      <c r="B51" s="8" t="s">
        <v>21</v>
      </c>
      <c r="C51" s="9" t="str">
        <f t="shared" si="1"/>
        <v>P-AA0000</v>
      </c>
      <c r="D51" s="9" t="s">
        <v>72</v>
      </c>
      <c r="E51" s="9" t="str">
        <f t="shared" si="2"/>
        <v>DNA-AA0000-E2</v>
      </c>
      <c r="F51" s="9" t="str">
        <f t="shared" si="3"/>
        <v>IMG-DNA-AA0000-E2</v>
      </c>
      <c r="G51" s="8" t="s">
        <v>23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7">
        <v>51.0</v>
      </c>
      <c r="B52" s="8" t="s">
        <v>21</v>
      </c>
      <c r="C52" s="9" t="str">
        <f t="shared" si="1"/>
        <v>P-AA0000</v>
      </c>
      <c r="D52" s="9" t="s">
        <v>73</v>
      </c>
      <c r="E52" s="9" t="str">
        <f t="shared" si="2"/>
        <v>DNA-AA0000-E3</v>
      </c>
      <c r="F52" s="9" t="str">
        <f t="shared" si="3"/>
        <v>IMG-DNA-AA0000-E3</v>
      </c>
      <c r="G52" s="8" t="s">
        <v>23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7">
        <v>52.0</v>
      </c>
      <c r="B53" s="8" t="s">
        <v>21</v>
      </c>
      <c r="C53" s="9" t="str">
        <f t="shared" si="1"/>
        <v>P-AA0000</v>
      </c>
      <c r="D53" s="9" t="s">
        <v>74</v>
      </c>
      <c r="E53" s="9" t="str">
        <f t="shared" si="2"/>
        <v>DNA-AA0000-E4</v>
      </c>
      <c r="F53" s="9" t="str">
        <f t="shared" si="3"/>
        <v>IMG-DNA-AA0000-E4</v>
      </c>
      <c r="G53" s="8" t="s">
        <v>23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7">
        <v>53.0</v>
      </c>
      <c r="B54" s="8" t="s">
        <v>21</v>
      </c>
      <c r="C54" s="9" t="str">
        <f t="shared" si="1"/>
        <v>P-AA0000</v>
      </c>
      <c r="D54" s="9" t="s">
        <v>75</v>
      </c>
      <c r="E54" s="9" t="str">
        <f t="shared" si="2"/>
        <v>DNA-AA0000-E5</v>
      </c>
      <c r="F54" s="9" t="str">
        <f t="shared" si="3"/>
        <v>IMG-DNA-AA0000-E5</v>
      </c>
      <c r="G54" s="8" t="s">
        <v>23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7">
        <v>54.0</v>
      </c>
      <c r="B55" s="8" t="s">
        <v>21</v>
      </c>
      <c r="C55" s="9" t="str">
        <f t="shared" si="1"/>
        <v>P-AA0000</v>
      </c>
      <c r="D55" s="9" t="s">
        <v>76</v>
      </c>
      <c r="E55" s="9" t="str">
        <f t="shared" si="2"/>
        <v>DNA-AA0000-E6</v>
      </c>
      <c r="F55" s="9" t="str">
        <f t="shared" si="3"/>
        <v>IMG-DNA-AA0000-E6</v>
      </c>
      <c r="G55" s="8" t="s">
        <v>23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7">
        <v>55.0</v>
      </c>
      <c r="B56" s="8" t="s">
        <v>21</v>
      </c>
      <c r="C56" s="9" t="str">
        <f t="shared" si="1"/>
        <v>P-AA0000</v>
      </c>
      <c r="D56" s="9" t="s">
        <v>77</v>
      </c>
      <c r="E56" s="9" t="str">
        <f t="shared" si="2"/>
        <v>DNA-AA0000-E7</v>
      </c>
      <c r="F56" s="9" t="str">
        <f t="shared" si="3"/>
        <v>IMG-DNA-AA0000-E7</v>
      </c>
      <c r="G56" s="8" t="s">
        <v>23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7">
        <v>56.0</v>
      </c>
      <c r="B57" s="8" t="s">
        <v>21</v>
      </c>
      <c r="C57" s="9" t="str">
        <f t="shared" si="1"/>
        <v>P-AA0000</v>
      </c>
      <c r="D57" s="9" t="s">
        <v>78</v>
      </c>
      <c r="E57" s="9" t="str">
        <f t="shared" si="2"/>
        <v>DNA-AA0000-E8</v>
      </c>
      <c r="F57" s="9" t="str">
        <f t="shared" si="3"/>
        <v>IMG-DNA-AA0000-E8</v>
      </c>
      <c r="G57" s="8" t="s">
        <v>23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7">
        <v>57.0</v>
      </c>
      <c r="B58" s="8" t="s">
        <v>21</v>
      </c>
      <c r="C58" s="9" t="str">
        <f t="shared" si="1"/>
        <v>P-AA0000</v>
      </c>
      <c r="D58" s="9" t="s">
        <v>79</v>
      </c>
      <c r="E58" s="9" t="str">
        <f t="shared" si="2"/>
        <v>DNA-AA0000-E9</v>
      </c>
      <c r="F58" s="9" t="str">
        <f t="shared" si="3"/>
        <v>IMG-DNA-AA0000-E9</v>
      </c>
      <c r="G58" s="8" t="s">
        <v>23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7">
        <v>58.0</v>
      </c>
      <c r="B59" s="8" t="s">
        <v>21</v>
      </c>
      <c r="C59" s="9" t="str">
        <f t="shared" si="1"/>
        <v>P-AA0000</v>
      </c>
      <c r="D59" s="9" t="s">
        <v>80</v>
      </c>
      <c r="E59" s="9" t="str">
        <f t="shared" si="2"/>
        <v>DNA-AA0000-E10</v>
      </c>
      <c r="F59" s="9" t="str">
        <f t="shared" si="3"/>
        <v>IMG-DNA-AA0000-E10</v>
      </c>
      <c r="G59" s="8" t="s">
        <v>23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7">
        <v>59.0</v>
      </c>
      <c r="B60" s="8" t="s">
        <v>21</v>
      </c>
      <c r="C60" s="9" t="str">
        <f t="shared" si="1"/>
        <v>P-AA0000</v>
      </c>
      <c r="D60" s="9" t="s">
        <v>81</v>
      </c>
      <c r="E60" s="9" t="str">
        <f t="shared" si="2"/>
        <v>DNA-AA0000-E11</v>
      </c>
      <c r="F60" s="9" t="str">
        <f t="shared" si="3"/>
        <v>IMG-DNA-AA0000-E11</v>
      </c>
      <c r="G60" s="8" t="s">
        <v>23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7">
        <v>60.0</v>
      </c>
      <c r="B61" s="8" t="s">
        <v>21</v>
      </c>
      <c r="C61" s="9" t="str">
        <f t="shared" si="1"/>
        <v>P-AA0000</v>
      </c>
      <c r="D61" s="9" t="s">
        <v>82</v>
      </c>
      <c r="E61" s="9" t="str">
        <f t="shared" si="2"/>
        <v>DNA-AA0000-E12</v>
      </c>
      <c r="F61" s="9" t="str">
        <f t="shared" si="3"/>
        <v>IMG-DNA-AA0000-E12</v>
      </c>
      <c r="G61" s="8" t="s">
        <v>23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7">
        <v>61.0</v>
      </c>
      <c r="B62" s="8" t="s">
        <v>21</v>
      </c>
      <c r="C62" s="9" t="str">
        <f t="shared" si="1"/>
        <v>P-AA0000</v>
      </c>
      <c r="D62" s="9" t="s">
        <v>83</v>
      </c>
      <c r="E62" s="9" t="str">
        <f t="shared" si="2"/>
        <v>DNA-AA0000-F1</v>
      </c>
      <c r="F62" s="9" t="str">
        <f t="shared" si="3"/>
        <v>IMG-DNA-AA0000-F1</v>
      </c>
      <c r="G62" s="8" t="s">
        <v>23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7">
        <v>62.0</v>
      </c>
      <c r="B63" s="8" t="s">
        <v>21</v>
      </c>
      <c r="C63" s="9" t="str">
        <f t="shared" si="1"/>
        <v>P-AA0000</v>
      </c>
      <c r="D63" s="9" t="s">
        <v>84</v>
      </c>
      <c r="E63" s="9" t="str">
        <f t="shared" si="2"/>
        <v>DNA-AA0000-F2</v>
      </c>
      <c r="F63" s="9" t="str">
        <f t="shared" si="3"/>
        <v>IMG-DNA-AA0000-F2</v>
      </c>
      <c r="G63" s="8" t="s">
        <v>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7">
        <v>63.0</v>
      </c>
      <c r="B64" s="8" t="s">
        <v>21</v>
      </c>
      <c r="C64" s="9" t="str">
        <f t="shared" si="1"/>
        <v>P-AA0000</v>
      </c>
      <c r="D64" s="9" t="s">
        <v>85</v>
      </c>
      <c r="E64" s="9" t="str">
        <f t="shared" si="2"/>
        <v>DNA-AA0000-F3</v>
      </c>
      <c r="F64" s="9" t="str">
        <f t="shared" si="3"/>
        <v>IMG-DNA-AA0000-F3</v>
      </c>
      <c r="G64" s="8" t="s">
        <v>23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7">
        <v>64.0</v>
      </c>
      <c r="B65" s="8" t="s">
        <v>21</v>
      </c>
      <c r="C65" s="9" t="str">
        <f t="shared" si="1"/>
        <v>P-AA0000</v>
      </c>
      <c r="D65" s="9" t="s">
        <v>86</v>
      </c>
      <c r="E65" s="9" t="str">
        <f t="shared" si="2"/>
        <v>DNA-AA0000-F4</v>
      </c>
      <c r="F65" s="9" t="str">
        <f t="shared" si="3"/>
        <v>IMG-DNA-AA0000-F4</v>
      </c>
      <c r="G65" s="8" t="s">
        <v>23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7">
        <v>65.0</v>
      </c>
      <c r="B66" s="8" t="s">
        <v>21</v>
      </c>
      <c r="C66" s="9" t="str">
        <f t="shared" si="1"/>
        <v>P-AA0000</v>
      </c>
      <c r="D66" s="9" t="s">
        <v>87</v>
      </c>
      <c r="E66" s="9" t="str">
        <f t="shared" si="2"/>
        <v>DNA-AA0000-F5</v>
      </c>
      <c r="F66" s="9" t="str">
        <f t="shared" si="3"/>
        <v>IMG-DNA-AA0000-F5</v>
      </c>
      <c r="G66" s="8" t="s">
        <v>23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7">
        <v>66.0</v>
      </c>
      <c r="B67" s="8" t="s">
        <v>21</v>
      </c>
      <c r="C67" s="9" t="str">
        <f t="shared" si="1"/>
        <v>P-AA0000</v>
      </c>
      <c r="D67" s="9" t="s">
        <v>88</v>
      </c>
      <c r="E67" s="9" t="str">
        <f t="shared" si="2"/>
        <v>DNA-AA0000-F6</v>
      </c>
      <c r="F67" s="9" t="str">
        <f t="shared" si="3"/>
        <v>IMG-DNA-AA0000-F6</v>
      </c>
      <c r="G67" s="8" t="s">
        <v>23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7">
        <v>67.0</v>
      </c>
      <c r="B68" s="8" t="s">
        <v>21</v>
      </c>
      <c r="C68" s="9" t="str">
        <f t="shared" si="1"/>
        <v>P-AA0000</v>
      </c>
      <c r="D68" s="9" t="s">
        <v>89</v>
      </c>
      <c r="E68" s="9" t="str">
        <f t="shared" si="2"/>
        <v>DNA-AA0000-F7</v>
      </c>
      <c r="F68" s="9" t="str">
        <f t="shared" si="3"/>
        <v>IMG-DNA-AA0000-F7</v>
      </c>
      <c r="G68" s="8" t="s">
        <v>23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7">
        <v>68.0</v>
      </c>
      <c r="B69" s="8" t="s">
        <v>21</v>
      </c>
      <c r="C69" s="9" t="str">
        <f t="shared" si="1"/>
        <v>P-AA0000</v>
      </c>
      <c r="D69" s="9" t="s">
        <v>90</v>
      </c>
      <c r="E69" s="9" t="str">
        <f t="shared" si="2"/>
        <v>DNA-AA0000-F8</v>
      </c>
      <c r="F69" s="9" t="str">
        <f t="shared" si="3"/>
        <v>IMG-DNA-AA0000-F8</v>
      </c>
      <c r="G69" s="8" t="s">
        <v>23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7">
        <v>69.0</v>
      </c>
      <c r="B70" s="8" t="s">
        <v>21</v>
      </c>
      <c r="C70" s="9" t="str">
        <f t="shared" si="1"/>
        <v>P-AA0000</v>
      </c>
      <c r="D70" s="9" t="s">
        <v>91</v>
      </c>
      <c r="E70" s="9" t="str">
        <f t="shared" si="2"/>
        <v>DNA-AA0000-F9</v>
      </c>
      <c r="F70" s="9" t="str">
        <f t="shared" si="3"/>
        <v>IMG-DNA-AA0000-F9</v>
      </c>
      <c r="G70" s="8" t="s">
        <v>23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7">
        <v>70.0</v>
      </c>
      <c r="B71" s="8" t="s">
        <v>21</v>
      </c>
      <c r="C71" s="9" t="str">
        <f t="shared" si="1"/>
        <v>P-AA0000</v>
      </c>
      <c r="D71" s="9" t="s">
        <v>92</v>
      </c>
      <c r="E71" s="9" t="str">
        <f t="shared" si="2"/>
        <v>DNA-AA0000-F10</v>
      </c>
      <c r="F71" s="9" t="str">
        <f t="shared" si="3"/>
        <v>IMG-DNA-AA0000-F10</v>
      </c>
      <c r="G71" s="8" t="s">
        <v>23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7">
        <v>71.0</v>
      </c>
      <c r="B72" s="8" t="s">
        <v>21</v>
      </c>
      <c r="C72" s="9" t="str">
        <f t="shared" si="1"/>
        <v>P-AA0000</v>
      </c>
      <c r="D72" s="9" t="s">
        <v>93</v>
      </c>
      <c r="E72" s="9" t="str">
        <f t="shared" si="2"/>
        <v>DNA-AA0000-F11</v>
      </c>
      <c r="F72" s="9" t="str">
        <f t="shared" si="3"/>
        <v>IMG-DNA-AA0000-F11</v>
      </c>
      <c r="G72" s="8" t="s">
        <v>23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7">
        <v>72.0</v>
      </c>
      <c r="B73" s="8" t="s">
        <v>21</v>
      </c>
      <c r="C73" s="9" t="str">
        <f t="shared" si="1"/>
        <v>P-AA0000</v>
      </c>
      <c r="D73" s="9" t="s">
        <v>94</v>
      </c>
      <c r="E73" s="9" t="str">
        <f t="shared" si="2"/>
        <v>DNA-AA0000-F12</v>
      </c>
      <c r="F73" s="9" t="str">
        <f t="shared" si="3"/>
        <v>IMG-DNA-AA0000-F12</v>
      </c>
      <c r="G73" s="8" t="s">
        <v>23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7">
        <v>73.0</v>
      </c>
      <c r="B74" s="8" t="s">
        <v>21</v>
      </c>
      <c r="C74" s="9" t="str">
        <f t="shared" si="1"/>
        <v>P-AA0000</v>
      </c>
      <c r="D74" s="9" t="s">
        <v>95</v>
      </c>
      <c r="E74" s="9" t="str">
        <f t="shared" si="2"/>
        <v>DNA-AA0000-G1</v>
      </c>
      <c r="F74" s="9" t="str">
        <f t="shared" si="3"/>
        <v>IMG-DNA-AA0000-G1</v>
      </c>
      <c r="G74" s="8" t="s">
        <v>23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7">
        <v>74.0</v>
      </c>
      <c r="B75" s="8" t="s">
        <v>21</v>
      </c>
      <c r="C75" s="9" t="str">
        <f t="shared" si="1"/>
        <v>P-AA0000</v>
      </c>
      <c r="D75" s="9" t="s">
        <v>96</v>
      </c>
      <c r="E75" s="9" t="str">
        <f t="shared" si="2"/>
        <v>DNA-AA0000-G2</v>
      </c>
      <c r="F75" s="9" t="str">
        <f t="shared" si="3"/>
        <v>IMG-DNA-AA0000-G2</v>
      </c>
      <c r="G75" s="8" t="s">
        <v>23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7">
        <v>75.0</v>
      </c>
      <c r="B76" s="8" t="s">
        <v>21</v>
      </c>
      <c r="C76" s="9" t="str">
        <f t="shared" si="1"/>
        <v>P-AA0000</v>
      </c>
      <c r="D76" s="9" t="s">
        <v>97</v>
      </c>
      <c r="E76" s="9" t="str">
        <f t="shared" si="2"/>
        <v>DNA-AA0000-G3</v>
      </c>
      <c r="F76" s="9" t="str">
        <f t="shared" si="3"/>
        <v>IMG-DNA-AA0000-G3</v>
      </c>
      <c r="G76" s="8" t="s">
        <v>23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7">
        <v>76.0</v>
      </c>
      <c r="B77" s="8" t="s">
        <v>21</v>
      </c>
      <c r="C77" s="9" t="str">
        <f t="shared" si="1"/>
        <v>P-AA0000</v>
      </c>
      <c r="D77" s="9" t="s">
        <v>98</v>
      </c>
      <c r="E77" s="9" t="str">
        <f t="shared" si="2"/>
        <v>DNA-AA0000-G4</v>
      </c>
      <c r="F77" s="9" t="str">
        <f t="shared" si="3"/>
        <v>IMG-DNA-AA0000-G4</v>
      </c>
      <c r="G77" s="8" t="s">
        <v>23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7">
        <v>77.0</v>
      </c>
      <c r="B78" s="8" t="s">
        <v>21</v>
      </c>
      <c r="C78" s="9" t="str">
        <f t="shared" si="1"/>
        <v>P-AA0000</v>
      </c>
      <c r="D78" s="9" t="s">
        <v>99</v>
      </c>
      <c r="E78" s="9" t="str">
        <f t="shared" si="2"/>
        <v>DNA-AA0000-G5</v>
      </c>
      <c r="F78" s="9" t="str">
        <f t="shared" si="3"/>
        <v>IMG-DNA-AA0000-G5</v>
      </c>
      <c r="G78" s="8" t="s">
        <v>23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7">
        <v>78.0</v>
      </c>
      <c r="B79" s="8" t="s">
        <v>21</v>
      </c>
      <c r="C79" s="9" t="str">
        <f t="shared" si="1"/>
        <v>P-AA0000</v>
      </c>
      <c r="D79" s="9" t="s">
        <v>100</v>
      </c>
      <c r="E79" s="9" t="str">
        <f t="shared" si="2"/>
        <v>DNA-AA0000-G6</v>
      </c>
      <c r="F79" s="9" t="str">
        <f t="shared" si="3"/>
        <v>IMG-DNA-AA0000-G6</v>
      </c>
      <c r="G79" s="8" t="s">
        <v>23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7">
        <v>79.0</v>
      </c>
      <c r="B80" s="8" t="s">
        <v>21</v>
      </c>
      <c r="C80" s="9" t="str">
        <f t="shared" si="1"/>
        <v>P-AA0000</v>
      </c>
      <c r="D80" s="9" t="s">
        <v>101</v>
      </c>
      <c r="E80" s="9" t="str">
        <f t="shared" si="2"/>
        <v>DNA-AA0000-G7</v>
      </c>
      <c r="F80" s="9" t="str">
        <f t="shared" si="3"/>
        <v>IMG-DNA-AA0000-G7</v>
      </c>
      <c r="G80" s="8" t="s">
        <v>23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7">
        <v>80.0</v>
      </c>
      <c r="B81" s="8" t="s">
        <v>21</v>
      </c>
      <c r="C81" s="9" t="str">
        <f t="shared" si="1"/>
        <v>P-AA0000</v>
      </c>
      <c r="D81" s="9" t="s">
        <v>102</v>
      </c>
      <c r="E81" s="9" t="str">
        <f t="shared" si="2"/>
        <v>DNA-AA0000-G8</v>
      </c>
      <c r="F81" s="9" t="str">
        <f t="shared" si="3"/>
        <v>IMG-DNA-AA0000-G8</v>
      </c>
      <c r="G81" s="8" t="s">
        <v>23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7">
        <v>81.0</v>
      </c>
      <c r="B82" s="8" t="s">
        <v>21</v>
      </c>
      <c r="C82" s="9" t="str">
        <f t="shared" si="1"/>
        <v>P-AA0000</v>
      </c>
      <c r="D82" s="9" t="s">
        <v>103</v>
      </c>
      <c r="E82" s="9" t="str">
        <f t="shared" si="2"/>
        <v>DNA-AA0000-G9</v>
      </c>
      <c r="F82" s="9" t="str">
        <f t="shared" si="3"/>
        <v>IMG-DNA-AA0000-G9</v>
      </c>
      <c r="G82" s="8" t="s">
        <v>23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7">
        <v>82.0</v>
      </c>
      <c r="B83" s="8" t="s">
        <v>21</v>
      </c>
      <c r="C83" s="9" t="str">
        <f t="shared" si="1"/>
        <v>P-AA0000</v>
      </c>
      <c r="D83" s="9" t="s">
        <v>104</v>
      </c>
      <c r="E83" s="9" t="str">
        <f t="shared" si="2"/>
        <v>DNA-AA0000-G10</v>
      </c>
      <c r="F83" s="9" t="str">
        <f t="shared" si="3"/>
        <v>IMG-DNA-AA0000-G10</v>
      </c>
      <c r="G83" s="8" t="s">
        <v>23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7">
        <v>83.0</v>
      </c>
      <c r="B84" s="8" t="s">
        <v>21</v>
      </c>
      <c r="C84" s="9" t="str">
        <f t="shared" si="1"/>
        <v>P-AA0000</v>
      </c>
      <c r="D84" s="9" t="s">
        <v>105</v>
      </c>
      <c r="E84" s="9" t="str">
        <f t="shared" si="2"/>
        <v>DNA-AA0000-G11</v>
      </c>
      <c r="F84" s="9" t="str">
        <f t="shared" si="3"/>
        <v>IMG-DNA-AA0000-G11</v>
      </c>
      <c r="G84" s="8" t="s">
        <v>23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7">
        <v>84.0</v>
      </c>
      <c r="B85" s="8" t="s">
        <v>21</v>
      </c>
      <c r="C85" s="9" t="str">
        <f t="shared" si="1"/>
        <v>P-AA0000</v>
      </c>
      <c r="D85" s="9" t="s">
        <v>106</v>
      </c>
      <c r="E85" s="9" t="str">
        <f t="shared" si="2"/>
        <v>DNA-AA0000-G12</v>
      </c>
      <c r="F85" s="9" t="str">
        <f t="shared" si="3"/>
        <v>IMG-DNA-AA0000-G12</v>
      </c>
      <c r="G85" s="8" t="s">
        <v>23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7">
        <v>85.0</v>
      </c>
      <c r="B86" s="8" t="s">
        <v>21</v>
      </c>
      <c r="C86" s="9" t="str">
        <f t="shared" si="1"/>
        <v>P-AA0000</v>
      </c>
      <c r="D86" s="9" t="s">
        <v>107</v>
      </c>
      <c r="E86" s="9" t="str">
        <f t="shared" si="2"/>
        <v>DNA-AA0000-H1</v>
      </c>
      <c r="F86" s="9" t="str">
        <f t="shared" si="3"/>
        <v>IMG-DNA-AA0000-H1</v>
      </c>
      <c r="G86" s="8" t="s">
        <v>23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7">
        <v>86.0</v>
      </c>
      <c r="B87" s="8" t="s">
        <v>21</v>
      </c>
      <c r="C87" s="9" t="str">
        <f t="shared" si="1"/>
        <v>P-AA0000</v>
      </c>
      <c r="D87" s="9" t="s">
        <v>108</v>
      </c>
      <c r="E87" s="9" t="str">
        <f t="shared" si="2"/>
        <v>DNA-AA0000-H2</v>
      </c>
      <c r="F87" s="9" t="str">
        <f t="shared" si="3"/>
        <v>IMG-DNA-AA0000-H2</v>
      </c>
      <c r="G87" s="8" t="s">
        <v>23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7">
        <v>87.0</v>
      </c>
      <c r="B88" s="8" t="s">
        <v>21</v>
      </c>
      <c r="C88" s="9" t="str">
        <f t="shared" si="1"/>
        <v>P-AA0000</v>
      </c>
      <c r="D88" s="9" t="s">
        <v>109</v>
      </c>
      <c r="E88" s="9" t="str">
        <f t="shared" si="2"/>
        <v>DNA-AA0000-H3</v>
      </c>
      <c r="F88" s="9" t="str">
        <f t="shared" si="3"/>
        <v>IMG-DNA-AA0000-H3</v>
      </c>
      <c r="G88" s="8" t="s">
        <v>23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7">
        <v>88.0</v>
      </c>
      <c r="B89" s="8" t="s">
        <v>21</v>
      </c>
      <c r="C89" s="9" t="str">
        <f t="shared" si="1"/>
        <v>P-AA0000</v>
      </c>
      <c r="D89" s="9" t="s">
        <v>110</v>
      </c>
      <c r="E89" s="9" t="str">
        <f t="shared" si="2"/>
        <v>DNA-AA0000-H4</v>
      </c>
      <c r="F89" s="9" t="str">
        <f t="shared" si="3"/>
        <v>IMG-DNA-AA0000-H4</v>
      </c>
      <c r="G89" s="8" t="s">
        <v>23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7">
        <v>89.0</v>
      </c>
      <c r="B90" s="8" t="s">
        <v>21</v>
      </c>
      <c r="C90" s="9" t="str">
        <f t="shared" si="1"/>
        <v>P-AA0000</v>
      </c>
      <c r="D90" s="9" t="s">
        <v>111</v>
      </c>
      <c r="E90" s="9" t="str">
        <f t="shared" si="2"/>
        <v>DNA-AA0000-H5</v>
      </c>
      <c r="F90" s="9" t="str">
        <f t="shared" si="3"/>
        <v>IMG-DNA-AA0000-H5</v>
      </c>
      <c r="G90" s="8" t="s">
        <v>23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7">
        <v>90.0</v>
      </c>
      <c r="B91" s="8" t="s">
        <v>21</v>
      </c>
      <c r="C91" s="9" t="str">
        <f t="shared" si="1"/>
        <v>P-AA0000</v>
      </c>
      <c r="D91" s="9" t="s">
        <v>112</v>
      </c>
      <c r="E91" s="9" t="str">
        <f t="shared" si="2"/>
        <v>DNA-AA0000-H6</v>
      </c>
      <c r="F91" s="9" t="str">
        <f t="shared" si="3"/>
        <v>IMG-DNA-AA0000-H6</v>
      </c>
      <c r="G91" s="8" t="s">
        <v>23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7">
        <v>91.0</v>
      </c>
      <c r="B92" s="8" t="s">
        <v>21</v>
      </c>
      <c r="C92" s="9" t="str">
        <f t="shared" si="1"/>
        <v>P-AA0000</v>
      </c>
      <c r="D92" s="9" t="s">
        <v>113</v>
      </c>
      <c r="E92" s="9" t="str">
        <f t="shared" si="2"/>
        <v>DNA-AA0000-H7</v>
      </c>
      <c r="F92" s="9" t="str">
        <f t="shared" si="3"/>
        <v>IMG-DNA-AA0000-H7</v>
      </c>
      <c r="G92" s="8" t="s">
        <v>23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7">
        <v>92.0</v>
      </c>
      <c r="B93" s="8" t="s">
        <v>21</v>
      </c>
      <c r="C93" s="9" t="str">
        <f t="shared" si="1"/>
        <v>P-AA0000</v>
      </c>
      <c r="D93" s="9" t="s">
        <v>114</v>
      </c>
      <c r="E93" s="9" t="str">
        <f t="shared" si="2"/>
        <v>DNA-AA0000-H8</v>
      </c>
      <c r="F93" s="9" t="str">
        <f t="shared" si="3"/>
        <v>IMG-DNA-AA0000-H8</v>
      </c>
      <c r="G93" s="8" t="s">
        <v>23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7">
        <v>93.0</v>
      </c>
      <c r="B94" s="8" t="s">
        <v>21</v>
      </c>
      <c r="C94" s="9" t="str">
        <f t="shared" si="1"/>
        <v>P-AA0000</v>
      </c>
      <c r="D94" s="9" t="s">
        <v>115</v>
      </c>
      <c r="E94" s="9" t="str">
        <f t="shared" si="2"/>
        <v>DNA-AA0000-H9</v>
      </c>
      <c r="F94" s="9" t="str">
        <f t="shared" si="3"/>
        <v>IMG-DNA-AA0000-H9</v>
      </c>
      <c r="G94" s="8" t="s">
        <v>23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7">
        <v>94.0</v>
      </c>
      <c r="B95" s="8" t="s">
        <v>21</v>
      </c>
      <c r="C95" s="9" t="str">
        <f t="shared" si="1"/>
        <v>P-AA0000</v>
      </c>
      <c r="D95" s="9" t="s">
        <v>116</v>
      </c>
      <c r="E95" s="9" t="str">
        <f t="shared" si="2"/>
        <v>DNA-AA0000-H10</v>
      </c>
      <c r="F95" s="9" t="str">
        <f t="shared" si="3"/>
        <v>IMG-DNA-AA0000-H10</v>
      </c>
      <c r="G95" s="8" t="s">
        <v>23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7">
        <v>95.0</v>
      </c>
      <c r="B96" s="8" t="s">
        <v>21</v>
      </c>
      <c r="C96" s="9" t="str">
        <f t="shared" si="1"/>
        <v>P-AA0000</v>
      </c>
      <c r="D96" s="9" t="s">
        <v>117</v>
      </c>
      <c r="E96" s="9" t="str">
        <f t="shared" si="2"/>
        <v>DNA-AA0000-H11</v>
      </c>
      <c r="F96" s="9" t="str">
        <f t="shared" si="3"/>
        <v>IMG-DNA-AA0000-H11</v>
      </c>
      <c r="G96" s="8" t="s">
        <v>23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7">
        <v>96.0</v>
      </c>
      <c r="B97" s="8" t="s">
        <v>21</v>
      </c>
      <c r="C97" s="9" t="str">
        <f t="shared" si="1"/>
        <v>P-AA0000</v>
      </c>
      <c r="D97" s="9" t="s">
        <v>118</v>
      </c>
      <c r="E97" s="9" t="s">
        <v>119</v>
      </c>
      <c r="F97" s="9" t="s">
        <v>119</v>
      </c>
      <c r="G97" s="8"/>
      <c r="H97" s="9" t="s">
        <v>119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drawing r:id="rId1"/>
</worksheet>
</file>